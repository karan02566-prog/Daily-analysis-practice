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EC17FE0-C4B0-41AF-A038-22D87D2D5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E8" i="1"/>
  <c r="D8" i="1"/>
  <c r="C8" i="1"/>
  <c r="B8" i="1"/>
  <c r="E14" i="1" l="1"/>
  <c r="E15" i="1" s="1"/>
  <c r="D14" i="1"/>
  <c r="D15" i="1" s="1"/>
  <c r="C14" i="1"/>
  <c r="C15" i="1" s="1"/>
  <c r="B14" i="1"/>
  <c r="B15" i="1" s="1"/>
</calcChain>
</file>

<file path=xl/sharedStrings.xml><?xml version="1.0" encoding="utf-8"?>
<sst xmlns="http://schemas.openxmlformats.org/spreadsheetml/2006/main" count="18" uniqueCount="18">
  <si>
    <t>Risk Attribute</t>
  </si>
  <si>
    <t>Persona 1</t>
  </si>
  <si>
    <t>Persona 2</t>
  </si>
  <si>
    <t>Persona 3</t>
  </si>
  <si>
    <t>Persona 4</t>
  </si>
  <si>
    <t>Weights</t>
  </si>
  <si>
    <t>Credit Score</t>
  </si>
  <si>
    <t>Annual Income</t>
  </si>
  <si>
    <t>Debt</t>
  </si>
  <si>
    <t>Savings</t>
  </si>
  <si>
    <t>Late Payments</t>
  </si>
  <si>
    <t>Credit Score (N)</t>
  </si>
  <si>
    <t>Annual Income (N)</t>
  </si>
  <si>
    <t>Debt (N)</t>
  </si>
  <si>
    <t>Savings (N)</t>
  </si>
  <si>
    <t>Late Payments (N)</t>
  </si>
  <si>
    <t>Weighted Score</t>
  </si>
  <si>
    <t>Risk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</si>
</sst>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D0D0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17" sqref="D17"/>
    </sheetView>
  </sheetViews>
  <sheetFormatPr defaultColWidth="8.85546875" defaultRowHeight="15" x14ac:dyDescent="0.25"/>
  <cols>
    <col min="1" max="1" width="15" bestFit="1" customWidth="1"/>
    <col min="2" max="2" width="12.140625" bestFit="1" customWidth="1"/>
    <col min="3" max="3" width="13.85546875" bestFit="1" customWidth="1"/>
    <col min="4" max="4" width="13.140625" bestFit="1" customWidth="1"/>
    <col min="5" max="5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t="s">
        <v>6</v>
      </c>
      <c r="B2">
        <v>760</v>
      </c>
      <c r="C2">
        <v>700</v>
      </c>
      <c r="D2">
        <v>660</v>
      </c>
      <c r="E2">
        <v>720</v>
      </c>
      <c r="F2">
        <v>0.25</v>
      </c>
    </row>
    <row r="3" spans="1:8" x14ac:dyDescent="0.25">
      <c r="A3" t="s">
        <v>7</v>
      </c>
      <c r="B3">
        <v>280000</v>
      </c>
      <c r="C3">
        <v>180000</v>
      </c>
      <c r="D3">
        <v>100000</v>
      </c>
      <c r="E3">
        <v>150000</v>
      </c>
      <c r="F3">
        <v>0.2</v>
      </c>
    </row>
    <row r="4" spans="1:8" x14ac:dyDescent="0.25">
      <c r="A4" t="s">
        <v>8</v>
      </c>
      <c r="B4">
        <v>150000</v>
      </c>
      <c r="C4">
        <v>100000</v>
      </c>
      <c r="D4">
        <v>90000</v>
      </c>
      <c r="E4">
        <v>200000</v>
      </c>
      <c r="F4">
        <v>0.2</v>
      </c>
    </row>
    <row r="5" spans="1:8" x14ac:dyDescent="0.25">
      <c r="A5" t="s">
        <v>9</v>
      </c>
      <c r="B5">
        <v>450000</v>
      </c>
      <c r="C5">
        <v>120000</v>
      </c>
      <c r="D5">
        <v>20000</v>
      </c>
      <c r="E5">
        <v>80000</v>
      </c>
      <c r="F5">
        <v>0.25</v>
      </c>
    </row>
    <row r="6" spans="1:8" x14ac:dyDescent="0.25">
      <c r="A6" t="s">
        <v>10</v>
      </c>
      <c r="B6">
        <v>0</v>
      </c>
      <c r="C6">
        <v>1</v>
      </c>
      <c r="D6">
        <v>2</v>
      </c>
      <c r="E6">
        <v>1</v>
      </c>
      <c r="F6">
        <v>0.1</v>
      </c>
    </row>
    <row r="8" spans="1:8" x14ac:dyDescent="0.25">
      <c r="A8" s="1" t="s">
        <v>11</v>
      </c>
      <c r="B8" s="1">
        <f>(B2-300)/(850-300)*100</f>
        <v>83.636363636363626</v>
      </c>
      <c r="C8" s="1">
        <f>(C2-300)/(850-300)*100</f>
        <v>72.727272727272734</v>
      </c>
      <c r="D8" s="1">
        <f>(D2-300)/(850-300)*100</f>
        <v>65.454545454545453</v>
      </c>
      <c r="E8" s="1">
        <f>(E2-300)/(850-300)*100</f>
        <v>76.363636363636374</v>
      </c>
      <c r="F8" s="1"/>
    </row>
    <row r="9" spans="1:8" x14ac:dyDescent="0.25">
      <c r="A9" t="s">
        <v>12</v>
      </c>
      <c r="B9">
        <f>MIN(B3/300000, 1)*100</f>
        <v>93.333333333333329</v>
      </c>
      <c r="C9">
        <f t="shared" ref="B9:E10" si="0">MIN(C3/300000, 1)*100</f>
        <v>60</v>
      </c>
      <c r="D9">
        <f t="shared" si="0"/>
        <v>33.333333333333329</v>
      </c>
      <c r="E9">
        <f t="shared" si="0"/>
        <v>50</v>
      </c>
    </row>
    <row r="10" spans="1:8" x14ac:dyDescent="0.25">
      <c r="A10" t="s">
        <v>13</v>
      </c>
      <c r="B10">
        <f t="shared" si="0"/>
        <v>50</v>
      </c>
      <c r="C10">
        <f t="shared" si="0"/>
        <v>33.333333333333329</v>
      </c>
      <c r="D10">
        <f t="shared" si="0"/>
        <v>30</v>
      </c>
      <c r="E10">
        <f t="shared" si="0"/>
        <v>66.666666666666657</v>
      </c>
    </row>
    <row r="11" spans="1:8" x14ac:dyDescent="0.25">
      <c r="A11" t="s">
        <v>14</v>
      </c>
      <c r="B11">
        <f>MIN(B5/500000, 1)*100</f>
        <v>90</v>
      </c>
      <c r="C11">
        <f>MIN(C5/500000, 1)*100</f>
        <v>24</v>
      </c>
      <c r="D11">
        <f>MIN(D5/500000, 1)*100</f>
        <v>4</v>
      </c>
      <c r="E11">
        <f>MIN(E5/500000, 1)*100</f>
        <v>16</v>
      </c>
    </row>
    <row r="12" spans="1:8" x14ac:dyDescent="0.25">
      <c r="A12" t="s">
        <v>15</v>
      </c>
      <c r="B12">
        <f>MIN(B6/5, 1)*100</f>
        <v>0</v>
      </c>
      <c r="C12">
        <f>MIN(C6/5, 1)*100</f>
        <v>20</v>
      </c>
      <c r="D12">
        <f>MIN(D6/5, 1)*100</f>
        <v>40</v>
      </c>
      <c r="E12">
        <f>MIN(E6/5, 1)*100</f>
        <v>20</v>
      </c>
    </row>
    <row r="14" spans="1:8" x14ac:dyDescent="0.25">
      <c r="A14" s="1" t="s">
        <v>16</v>
      </c>
      <c r="B14" s="1">
        <f>B8*$F$2 + B9*$F$3 + B10*$F$4 + B11*$F$5 + B12*$F$6</f>
        <v>72.075757575757578</v>
      </c>
      <c r="C14" s="1">
        <f>C8*$F$2 + C9*$F$3 + C10*$F$4 + C11*$F$5 + C12*$F$6</f>
        <v>44.848484848484851</v>
      </c>
      <c r="D14" s="1">
        <f>D8*$F$2 + D9*$F$3 + D10*$F$4 + D11*$F$5 + D12*$F$6</f>
        <v>34.030303030303031</v>
      </c>
      <c r="E14" s="1">
        <f>E8*$F$2 + E9*$F$3 + E10*$F$4 + E11*$F$5 + E12*$F$6</f>
        <v>48.424242424242422</v>
      </c>
      <c r="F14" s="1"/>
      <c r="H14" s="3"/>
    </row>
    <row r="15" spans="1:8" ht="18.75" x14ac:dyDescent="0.3">
      <c r="A15" t="s">
        <v>17</v>
      </c>
      <c r="B15" s="2" t="str">
        <f>IF(B14&lt;=33,"High Risk",IF(B14&lt;=66,"Medium Risk","Low Risk"))</f>
        <v>Low Risk</v>
      </c>
      <c r="C15" s="2" t="str">
        <f>IF(C14&lt;=33,"High Risk",IF(C14&lt;=66,"Medium Risk","Low Risk"))</f>
        <v>Medium Risk</v>
      </c>
      <c r="D15" s="2" t="str">
        <f>IF(D14&lt;=33,"High Risk",IF(D14&lt;=66,"Medium Risk","Low Risk"))</f>
        <v>Medium Risk</v>
      </c>
      <c r="E15" s="2" t="str">
        <f>IF(E14&lt;=33,"High Risk",IF(E14&lt;=66,"Medium Risk","Low Risk"))</f>
        <v>Medium Risk</v>
      </c>
    </row>
    <row r="16" spans="1:8" x14ac:dyDescent="0.25">
      <c r="A16" s="1"/>
      <c r="B16" s="1"/>
      <c r="C16" s="1"/>
      <c r="D16" s="1"/>
      <c r="E16" s="1"/>
      <c r="F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thakur</cp:lastModifiedBy>
  <dcterms:created xsi:type="dcterms:W3CDTF">2024-05-29T12:51:57Z</dcterms:created>
  <dcterms:modified xsi:type="dcterms:W3CDTF">2026-08-19T12:38:12Z</dcterms:modified>
</cp:coreProperties>
</file>