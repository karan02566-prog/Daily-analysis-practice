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Slab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<sst xmlns="http://schemas.openxmlformats.org/spreadsheetml/2006/main" count="32" uniqueCount="32">
  <si>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Income Tax Slabs (New Regime, India — illustrative)</t>
  </si>
  <si>
    <t xml:space="preserve">SlabStart (₹)</t>
  </si>
  <si>
    <t xml:space="preserve">TaxRate</t>
  </si>
  <si>
    <t xml:space="preserve">RateLabel</t>
  </si>
  <si>
    <t xml:space="preserve">0%</t>
  </si>
  <si>
    <t xml:space="preserve">5%</t>
  </si>
  <si>
    <t xml:space="preserve">10%</t>
  </si>
  <si>
    <t xml:space="preserve">15%</t>
  </si>
  <si>
    <t xml:space="preserve">20%</t>
  </si>
  <si>
    <t xml:space="preserve">25%</t>
  </si>
  <si>
    <t xml:space="preserve">30%</t>
  </si>
  <si>
    <t xml:space="preserve">IMPORTANT: This table must stay sorted ascending by SlabStart for VLOOKUP's approximate-match mode to work correctly.</t>
  </si>
  <si>
    <t xml:space="preserve">VLOOKUP — Approximate Match (Tax Bracket Lookup)</t>
  </si>
  <si>
    <t xml:space="preserve">Problem statement:</t>
  </si>
  <si>
    <t xml:space="preserve">Given each person's annual income, find their applicable tax rate using the TaxSlabs table on the previous sheet. Use approximate-match VLOOKUP (TRUE) since income figures won't exactly match a slab boundary — VLOOKUP should return the rate for the highest slab start that is less than or equal to the income.</t>
  </si>
  <si>
    <t xml:space="preserve">Name</t>
  </si>
  <si>
    <t xml:space="preserve">Annual Income (₹)</t>
  </si>
  <si>
    <t xml:space="preserve">Applicable Rate (VLOOKUP)</t>
  </si>
  <si>
    <t xml:space="preserve">Tax Payable (approx, flat-rate)</t>
  </si>
  <si>
    <t xml:space="preserve">Ananya Sharma</t>
  </si>
  <si>
    <t xml:space="preserve">Rohan Mehta</t>
  </si>
  <si>
    <t xml:space="preserve">Priya Nair</t>
  </si>
  <si>
    <t xml:space="preserve">Karan Verma</t>
  </si>
  <si>
    <t xml:space="preserve">Simran Kaur</t>
  </si>
  <si>
    <t xml:space="preserve">Aditya Rao</t>
  </si>
  <si>
    <t xml:space="preserve">Neha Gupta</t>
  </si>
  <si>
    <t xml:space="preserve">Vikram Singh</t>
  </si>
  <si>
    <t xml:space="preserve">Notes:</t>
  </si>
  <si>
    <t xml:space="preserve">• Formula used: =VLOOKUP(income, TaxSlabs!$A$4:$C$10, 2, TRUE) — TRUE enables approximate match.</t>
  </si>
  <si>
    <t xml:space="preserve">• With TRUE, VLOOKUP finds the largest SlabStart that is &lt;= the income, then returns that row's rate.</t>
  </si>
  <si>
    <t xml:space="preserve">• The TaxSlabs table is sorted ascending by SlabStart — if it weren't, approximate match would silently return wrong rates with no error shown.</t>
  </si>
  <si>
    <t xml:space="preserve">• Tax Payable here is simplified as income × single rate — a real slab system would apply each slab's rate to only the portion of income within that slab (marginal tax), which is a good follow-up exercise using SUMPRODUCT.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</si>
</sst>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n">
        <v>0</v>
      </c>
      <c r="B4" s="4" t="n">
        <v>0</v>
      </c>
      <c r="C4" s="3" t="s">
        <v>4</v>
      </c>
    </row>
    <row r="5" customFormat="false" ht="15" hidden="false" customHeight="false" outlineLevel="0" collapsed="false">
      <c r="A5" s="3" t="n">
        <v>250000</v>
      </c>
      <c r="B5" s="4" t="n">
        <v>0.05</v>
      </c>
      <c r="C5" s="3" t="s">
        <v>5</v>
      </c>
    </row>
    <row r="6" customFormat="false" ht="15" hidden="false" customHeight="false" outlineLevel="0" collapsed="false">
      <c r="A6" s="3" t="n">
        <v>500000</v>
      </c>
      <c r="B6" s="4" t="n">
        <v>0.1</v>
      </c>
      <c r="C6" s="3" t="s">
        <v>6</v>
      </c>
    </row>
    <row r="7" customFormat="false" ht="15" hidden="false" customHeight="false" outlineLevel="0" collapsed="false">
      <c r="A7" s="3" t="n">
        <v>750000</v>
      </c>
      <c r="B7" s="4" t="n">
        <v>0.15</v>
      </c>
      <c r="C7" s="3" t="s">
        <v>7</v>
      </c>
    </row>
    <row r="8" customFormat="false" ht="15" hidden="false" customHeight="false" outlineLevel="0" collapsed="false">
      <c r="A8" s="3" t="n">
        <v>1000000</v>
      </c>
      <c r="B8" s="4" t="n">
        <v>0.2</v>
      </c>
      <c r="C8" s="3" t="s">
        <v>8</v>
      </c>
    </row>
    <row r="9" customFormat="false" ht="15" hidden="false" customHeight="false" outlineLevel="0" collapsed="false">
      <c r="A9" s="3" t="n">
        <v>1250000</v>
      </c>
      <c r="B9" s="4" t="n">
        <v>0.25</v>
      </c>
      <c r="C9" s="3" t="s">
        <v>9</v>
      </c>
    </row>
    <row r="10" customFormat="false" ht="15" hidden="false" customHeight="false" outlineLevel="0" collapsed="false">
      <c r="A10" s="3" t="n">
        <v>1500000</v>
      </c>
      <c r="B10" s="4" t="n">
        <v>0.3</v>
      </c>
      <c r="C10" s="3" t="s">
        <v>10</v>
      </c>
    </row>
    <row r="12" customFormat="false" ht="35.05" hidden="false" customHeight="true" outlineLevel="0" collapsed="false">
      <c r="A12" s="5" t="s">
        <v>11</v>
      </c>
      <c r="B12" s="5"/>
      <c r="C12" s="5"/>
      <c r="D12" s="5"/>
    </row>
  </sheetData>
  <mergeCells count="2">
    <mergeCell ref="A1:C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6" t="s">
        <v>12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13</v>
      </c>
    </row>
    <row r="4" customFormat="false" ht="39.75" hidden="false" customHeight="true" outlineLevel="0" collapsed="false">
      <c r="A4" s="8" t="s">
        <v>14</v>
      </c>
      <c r="B4" s="8"/>
      <c r="C4" s="8"/>
      <c r="D4" s="8"/>
      <c r="E4" s="8"/>
      <c r="F4" s="8"/>
      <c r="G4" s="8"/>
      <c r="H4" s="8"/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  <c r="D6" s="2" t="s">
        <v>18</v>
      </c>
    </row>
    <row r="7" customFormat="false" ht="15" hidden="false" customHeight="false" outlineLevel="0" collapsed="false">
      <c r="A7" s="3" t="s">
        <v>19</v>
      </c>
      <c r="B7" s="9" t="n">
        <v>420000</v>
      </c>
      <c r="C7" s="4" t="n">
        <f aca="false">VLOOKUP(B7,TaxSlabs!$A$4:$C$10,2,TRUE())</f>
        <v>0.05</v>
      </c>
      <c r="D7" s="10" t="n">
        <f aca="false">B7*C7</f>
        <v>21000</v>
      </c>
    </row>
    <row r="8" customFormat="false" ht="15" hidden="false" customHeight="false" outlineLevel="0" collapsed="false">
      <c r="A8" s="3" t="s">
        <v>20</v>
      </c>
      <c r="B8" s="9" t="n">
        <v>980000</v>
      </c>
      <c r="C8" s="4" t="n">
        <f aca="false">VLOOKUP(B8,TaxSlabs!$A$4:$C$10,2,TRUE())</f>
        <v>0.15</v>
      </c>
      <c r="D8" s="10" t="n">
        <f aca="false">B8*C8</f>
        <v>147000</v>
      </c>
    </row>
    <row r="9" customFormat="false" ht="15" hidden="false" customHeight="false" outlineLevel="0" collapsed="false">
      <c r="A9" s="3" t="s">
        <v>21</v>
      </c>
      <c r="B9" s="9" t="n">
        <v>1345000</v>
      </c>
      <c r="C9" s="4" t="n">
        <f aca="false">VLOOKUP(B9,TaxSlabs!$A$4:$C$10,2,TRUE())</f>
        <v>0.25</v>
      </c>
      <c r="D9" s="10" t="n">
        <f aca="false">B9*C9</f>
        <v>336250</v>
      </c>
    </row>
    <row r="10" customFormat="false" ht="15" hidden="false" customHeight="false" outlineLevel="0" collapsed="false">
      <c r="A10" s="3" t="s">
        <v>22</v>
      </c>
      <c r="B10" s="9" t="n">
        <v>240000</v>
      </c>
      <c r="C10" s="4" t="n">
        <f aca="false">VLOOKUP(B10,TaxSlabs!$A$4:$C$10,2,TRUE())</f>
        <v>0</v>
      </c>
      <c r="D10" s="10" t="n">
        <f aca="false">B10*C10</f>
        <v>0</v>
      </c>
    </row>
    <row r="11" customFormat="false" ht="15" hidden="false" customHeight="false" outlineLevel="0" collapsed="false">
      <c r="A11" s="3" t="s">
        <v>23</v>
      </c>
      <c r="B11" s="9" t="n">
        <v>610000</v>
      </c>
      <c r="C11" s="4" t="n">
        <f aca="false">VLOOKUP(B11,TaxSlabs!$A$4:$C$10,2,TRUE())</f>
        <v>0.1</v>
      </c>
      <c r="D11" s="10" t="n">
        <f aca="false">B11*C11</f>
        <v>61000</v>
      </c>
    </row>
    <row r="12" customFormat="false" ht="15" hidden="false" customHeight="false" outlineLevel="0" collapsed="false">
      <c r="A12" s="3" t="s">
        <v>24</v>
      </c>
      <c r="B12" s="9" t="n">
        <v>1550000</v>
      </c>
      <c r="C12" s="4" t="n">
        <f aca="false">VLOOKUP(B12,TaxSlabs!$A$4:$C$10,2,TRUE())</f>
        <v>0.3</v>
      </c>
      <c r="D12" s="10" t="n">
        <f aca="false">B12*C12</f>
        <v>465000</v>
      </c>
    </row>
    <row r="13" customFormat="false" ht="15" hidden="false" customHeight="false" outlineLevel="0" collapsed="false">
      <c r="A13" s="3" t="s">
        <v>25</v>
      </c>
      <c r="B13" s="9" t="n">
        <v>725000</v>
      </c>
      <c r="C13" s="4" t="n">
        <f aca="false">VLOOKUP(B13,TaxSlabs!$A$4:$C$10,2,TRUE())</f>
        <v>0.1</v>
      </c>
      <c r="D13" s="10" t="n">
        <f aca="false">B13*C13</f>
        <v>72500</v>
      </c>
    </row>
    <row r="14" customFormat="false" ht="15" hidden="false" customHeight="false" outlineLevel="0" collapsed="false">
      <c r="A14" s="3" t="s">
        <v>26</v>
      </c>
      <c r="B14" s="9" t="n">
        <v>1080000</v>
      </c>
      <c r="C14" s="4" t="n">
        <f aca="false">VLOOKUP(B14,TaxSlabs!$A$4:$C$10,2,TRUE())</f>
        <v>0.2</v>
      </c>
      <c r="D14" s="10" t="n">
        <f aca="false">B14*C14</f>
        <v>216000</v>
      </c>
    </row>
    <row r="16" customFormat="false" ht="15" hidden="false" customHeight="false" outlineLevel="0" collapsed="false">
      <c r="A16" s="7" t="s">
        <v>27</v>
      </c>
    </row>
    <row r="17" customFormat="false" ht="15" hidden="false" customHeight="true" outlineLevel="0" collapsed="false">
      <c r="A17" s="11" t="s">
        <v>28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11" t="s">
        <v>29</v>
      </c>
      <c r="B18" s="11"/>
      <c r="C18" s="11"/>
      <c r="D18" s="11"/>
      <c r="E18" s="11"/>
      <c r="F18" s="11"/>
      <c r="G18" s="11"/>
      <c r="H18" s="11"/>
    </row>
    <row r="19" customFormat="false" ht="23.85" hidden="false" customHeight="true" outlineLevel="0" collapsed="false">
      <c r="A19" s="11" t="s">
        <v>30</v>
      </c>
      <c r="B19" s="11"/>
      <c r="C19" s="11"/>
      <c r="D19" s="11"/>
      <c r="E19" s="11"/>
      <c r="F19" s="11"/>
      <c r="G19" s="11"/>
      <c r="H19" s="11"/>
    </row>
    <row r="20" customFormat="false" ht="23.85" hidden="false" customHeight="true" outlineLevel="0" collapsed="false">
      <c r="A20" s="11" t="s">
        <v>31</v>
      </c>
      <c r="B20" s="11"/>
      <c r="C20" s="11"/>
      <c r="D20" s="11"/>
      <c r="E20" s="11"/>
      <c r="F20" s="11"/>
      <c r="G20" s="11"/>
      <c r="H20" s="11"/>
    </row>
  </sheetData>
  <mergeCells count="6">
    <mergeCell ref="A1:F1"/>
    <mergeCell ref="A4:H4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2026-07-28T09:46:22Z</dcterms:created>
  <dc:creator>openpyxl</dc:creator>
  <dc:description/>
  <dc:language>en-US</dc:language>
  <cp:lastModifiedBy/>
  <dcterms:modified xsi:type="dcterms:W3CDTF">2026-07-28T09:46:22Z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