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Master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<sst xmlns="http://schemas.openxmlformats.org/spreadsheetml/2006/main" count="95" uniqueCount="65">
  <si>
    <t xml:space="preserve">Customer Master Table (Lookup Source)</t>
  </si>
  <si>
    <t xml:space="preserve">CustomerID</t>
  </si>
  <si>
    <t xml:space="preserve">CustomerName</t>
  </si>
  <si>
    <t xml:space="preserve">Region</t>
  </si>
  <si>
    <t xml:space="preserve">Tier</t>
  </si>
  <si>
    <t xml:space="preserve">CUST1001</t>
  </si>
  <si>
    <t xml:space="preserve">Ananya Sharma</t>
  </si>
  <si>
    <t xml:space="preserve">North</t>
  </si>
  <si>
    <t xml:space="preserve">Gold</t>
  </si>
  <si>
    <t xml:space="preserve">CUST1002</t>
  </si>
  <si>
    <t xml:space="preserve">Rohan Mehta</t>
  </si>
  <si>
    <t xml:space="preserve">West</t>
  </si>
  <si>
    <t xml:space="preserve">Silver</t>
  </si>
  <si>
    <t xml:space="preserve">CUST1003</t>
  </si>
  <si>
    <t xml:space="preserve">Priya Nair</t>
  </si>
  <si>
    <t xml:space="preserve">South</t>
  </si>
  <si>
    <t xml:space="preserve">Platinum</t>
  </si>
  <si>
    <t xml:space="preserve">CUST1004</t>
  </si>
  <si>
    <t xml:space="preserve">Karan Verma</t>
  </si>
  <si>
    <t xml:space="preserve">CUST1005</t>
  </si>
  <si>
    <t xml:space="preserve">Simran Kaur</t>
  </si>
  <si>
    <t xml:space="preserve">East</t>
  </si>
  <si>
    <t xml:space="preserve">CUST1006</t>
  </si>
  <si>
    <t xml:space="preserve">Aditya Rao</t>
  </si>
  <si>
    <t xml:space="preserve">Bronze</t>
  </si>
  <si>
    <t xml:space="preserve">CUST1007</t>
  </si>
  <si>
    <t xml:space="preserve">Neha Gupta</t>
  </si>
  <si>
    <t xml:space="preserve">CUST1008</t>
  </si>
  <si>
    <t xml:space="preserve">Vikram Singh</t>
  </si>
  <si>
    <t xml:space="preserve">CUST1009</t>
  </si>
  <si>
    <t xml:space="preserve">Ishita Bose</t>
  </si>
  <si>
    <t xml:space="preserve">CUST1010</t>
  </si>
  <si>
    <t xml:space="preserve">Farhan Ali</t>
  </si>
  <si>
    <t xml:space="preserve">CUST1011</t>
  </si>
  <si>
    <t xml:space="preserve">Meera Iyer</t>
  </si>
  <si>
    <t xml:space="preserve">CUST1012</t>
  </si>
  <si>
    <t xml:space="preserve">Arjun Kapoor</t>
  </si>
  <si>
    <t xml:space="preserve">CUST1013</t>
  </si>
  <si>
    <t xml:space="preserve">Divya Menon</t>
  </si>
  <si>
    <t xml:space="preserve">CUST1014</t>
  </si>
  <si>
    <t xml:space="preserve">Siddharth Roy</t>
  </si>
  <si>
    <t xml:space="preserve">CUST1015</t>
  </si>
  <si>
    <t xml:space="preserve">Tanvi Joshi</t>
  </si>
  <si>
    <t xml:space="preserve">VLOOKUP — Exact Match</t>
  </si>
  <si>
    <t xml:space="preserve">Problem statement:</t>
  </si>
  <si>
    <t xml:space="preserve">You have a list of order IDs with a CustomerID column. Using the CustomerMaster sheet, pull the CustomerName, Region, and Tier for each order — exact match only, so any CustomerID not found should show an error, not a wrong guess.</t>
  </si>
  <si>
    <t xml:space="preserve">OrderID</t>
  </si>
  <si>
    <t xml:space="preserve">CustomerName (VLOOKUP)</t>
  </si>
  <si>
    <t xml:space="preserve">Region (VLOOKUP)</t>
  </si>
  <si>
    <t xml:space="preserve">Tier (VLOOKUP)</t>
  </si>
  <si>
    <t xml:space="preserve">ORD-001</t>
  </si>
  <si>
    <t xml:space="preserve">ORD-002</t>
  </si>
  <si>
    <t xml:space="preserve">ORD-003</t>
  </si>
  <si>
    <t xml:space="preserve">CUST1099</t>
  </si>
  <si>
    <t xml:space="preserve">ORD-004</t>
  </si>
  <si>
    <t xml:space="preserve">ORD-005</t>
  </si>
  <si>
    <t xml:space="preserve">ORD-006</t>
  </si>
  <si>
    <t xml:space="preserve">ORD-007</t>
  </si>
  <si>
    <t xml:space="preserve">ORD-008</t>
  </si>
  <si>
    <t xml:space="preserve">Notes:</t>
  </si>
  <si>
    <t xml:space="preserve">• Formula used: =IFERROR(VLOOKUP(lookup_value, CustomerMaster!$A$4:$D$18, col_index, FALSE), "Not Found")</t>
  </si>
  <si>
    <t xml:space="preserve">• The 4th argument FALSE forces an exact match — required whenever you're matching IDs, codes, or names.</t>
  </si>
  <si>
    <t xml:space="preserve">• ORD-003 uses CUST1099, which does not exist in CustomerMaster — IFERROR catches VLOOKUP's not-found error and shows 'Not Found' instead of breaking the sheet.</t>
  </si>
  <si>
    <t xml:space="preserve">• Table range is locked with $ signs ($A$4:$D$18) so the formula can be dragged down without the lookup range shifting.</t>
  </si>
  <si>
    <t xml:space="preserve">• Column index (2, 3, 4) refers to position within the range A:D — B=2 (Name), C=3 (Region), D=4 (Tier).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</si>
</sst>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s">
        <v>6</v>
      </c>
      <c r="C4" s="3" t="s">
        <v>7</v>
      </c>
      <c r="D4" s="3" t="s">
        <v>8</v>
      </c>
    </row>
    <row r="5" customFormat="false" ht="15" hidden="false" customHeight="false" outlineLevel="0" collapsed="false">
      <c r="A5" s="3" t="s">
        <v>9</v>
      </c>
      <c r="B5" s="3" t="s">
        <v>10</v>
      </c>
      <c r="C5" s="3" t="s">
        <v>11</v>
      </c>
      <c r="D5" s="3" t="s">
        <v>12</v>
      </c>
    </row>
    <row r="6" customFormat="false" ht="15" hidden="false" customHeight="false" outlineLevel="0" collapsed="false">
      <c r="A6" s="3" t="s">
        <v>13</v>
      </c>
      <c r="B6" s="3" t="s">
        <v>14</v>
      </c>
      <c r="C6" s="3" t="s">
        <v>15</v>
      </c>
      <c r="D6" s="3" t="s">
        <v>16</v>
      </c>
    </row>
    <row r="7" customFormat="false" ht="15" hidden="false" customHeight="false" outlineLevel="0" collapsed="false">
      <c r="A7" s="3" t="s">
        <v>17</v>
      </c>
      <c r="B7" s="3" t="s">
        <v>18</v>
      </c>
      <c r="C7" s="3" t="s">
        <v>7</v>
      </c>
      <c r="D7" s="3" t="s">
        <v>8</v>
      </c>
    </row>
    <row r="8" customFormat="false" ht="15" hidden="false" customHeight="false" outlineLevel="0" collapsed="false">
      <c r="A8" s="3" t="s">
        <v>19</v>
      </c>
      <c r="B8" s="3" t="s">
        <v>20</v>
      </c>
      <c r="C8" s="3" t="s">
        <v>21</v>
      </c>
      <c r="D8" s="3" t="s">
        <v>12</v>
      </c>
    </row>
    <row r="9" customFormat="false" ht="15" hidden="false" customHeight="false" outlineLevel="0" collapsed="false">
      <c r="A9" s="3" t="s">
        <v>22</v>
      </c>
      <c r="B9" s="3" t="s">
        <v>23</v>
      </c>
      <c r="C9" s="3" t="s">
        <v>15</v>
      </c>
      <c r="D9" s="3" t="s">
        <v>24</v>
      </c>
    </row>
    <row r="10" customFormat="false" ht="15" hidden="false" customHeight="false" outlineLevel="0" collapsed="false">
      <c r="A10" s="3" t="s">
        <v>25</v>
      </c>
      <c r="B10" s="3" t="s">
        <v>26</v>
      </c>
      <c r="C10" s="3" t="s">
        <v>11</v>
      </c>
      <c r="D10" s="3" t="s">
        <v>8</v>
      </c>
    </row>
    <row r="11" customFormat="false" ht="15" hidden="false" customHeight="false" outlineLevel="0" collapsed="false">
      <c r="A11" s="3" t="s">
        <v>27</v>
      </c>
      <c r="B11" s="3" t="s">
        <v>28</v>
      </c>
      <c r="C11" s="3" t="s">
        <v>7</v>
      </c>
      <c r="D11" s="3" t="s">
        <v>16</v>
      </c>
    </row>
    <row r="12" customFormat="false" ht="15" hidden="false" customHeight="false" outlineLevel="0" collapsed="false">
      <c r="A12" s="3" t="s">
        <v>29</v>
      </c>
      <c r="B12" s="3" t="s">
        <v>30</v>
      </c>
      <c r="C12" s="3" t="s">
        <v>21</v>
      </c>
      <c r="D12" s="3" t="s">
        <v>24</v>
      </c>
    </row>
    <row r="13" customFormat="false" ht="15" hidden="false" customHeight="false" outlineLevel="0" collapsed="false">
      <c r="A13" s="3" t="s">
        <v>31</v>
      </c>
      <c r="B13" s="3" t="s">
        <v>32</v>
      </c>
      <c r="C13" s="3" t="s">
        <v>15</v>
      </c>
      <c r="D13" s="3" t="s">
        <v>12</v>
      </c>
    </row>
    <row r="14" customFormat="false" ht="15" hidden="false" customHeight="false" outlineLevel="0" collapsed="false">
      <c r="A14" s="3" t="s">
        <v>33</v>
      </c>
      <c r="B14" s="3" t="s">
        <v>34</v>
      </c>
      <c r="C14" s="3" t="s">
        <v>11</v>
      </c>
      <c r="D14" s="3" t="s">
        <v>8</v>
      </c>
    </row>
    <row r="15" customFormat="false" ht="15" hidden="false" customHeight="false" outlineLevel="0" collapsed="false">
      <c r="A15" s="3" t="s">
        <v>35</v>
      </c>
      <c r="B15" s="3" t="s">
        <v>36</v>
      </c>
      <c r="C15" s="3" t="s">
        <v>7</v>
      </c>
      <c r="D15" s="3" t="s">
        <v>24</v>
      </c>
    </row>
    <row r="16" customFormat="false" ht="15" hidden="false" customHeight="false" outlineLevel="0" collapsed="false">
      <c r="A16" s="3" t="s">
        <v>37</v>
      </c>
      <c r="B16" s="3" t="s">
        <v>38</v>
      </c>
      <c r="C16" s="3" t="s">
        <v>21</v>
      </c>
      <c r="D16" s="3" t="s">
        <v>16</v>
      </c>
    </row>
    <row r="17" customFormat="false" ht="15" hidden="false" customHeight="false" outlineLevel="0" collapsed="false">
      <c r="A17" s="3" t="s">
        <v>39</v>
      </c>
      <c r="B17" s="3" t="s">
        <v>40</v>
      </c>
      <c r="C17" s="3" t="s">
        <v>15</v>
      </c>
      <c r="D17" s="3" t="s">
        <v>8</v>
      </c>
    </row>
    <row r="18" customFormat="false" ht="15" hidden="false" customHeight="false" outlineLevel="0" collapsed="false">
      <c r="A18" s="3" t="s">
        <v>41</v>
      </c>
      <c r="B18" s="3" t="s">
        <v>42</v>
      </c>
      <c r="C18" s="3" t="s">
        <v>11</v>
      </c>
      <c r="D18" s="3" t="s">
        <v>12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4" t="s">
        <v>43</v>
      </c>
      <c r="B1" s="4"/>
      <c r="C1" s="4"/>
      <c r="D1" s="4"/>
      <c r="E1" s="4"/>
    </row>
    <row r="3" customFormat="false" ht="15" hidden="false" customHeight="false" outlineLevel="0" collapsed="false">
      <c r="A3" s="5" t="s">
        <v>44</v>
      </c>
    </row>
    <row r="4" customFormat="false" ht="30" hidden="false" customHeight="true" outlineLevel="0" collapsed="false">
      <c r="A4" s="6" t="s">
        <v>45</v>
      </c>
      <c r="B4" s="6"/>
      <c r="C4" s="6"/>
      <c r="D4" s="6"/>
      <c r="E4" s="6"/>
      <c r="F4" s="6"/>
      <c r="G4" s="6"/>
      <c r="H4" s="6"/>
    </row>
    <row r="6" customFormat="false" ht="15" hidden="false" customHeight="false" outlineLevel="0" collapsed="false">
      <c r="A6" s="2" t="s">
        <v>46</v>
      </c>
      <c r="B6" s="2" t="s">
        <v>1</v>
      </c>
      <c r="C6" s="2" t="s">
        <v>47</v>
      </c>
      <c r="D6" s="2" t="s">
        <v>48</v>
      </c>
      <c r="E6" s="2" t="s">
        <v>49</v>
      </c>
    </row>
    <row r="7" customFormat="false" ht="15" hidden="false" customHeight="false" outlineLevel="0" collapsed="false">
      <c r="A7" s="3" t="s">
        <v>50</v>
      </c>
      <c r="B7" s="7" t="s">
        <v>13</v>
      </c>
      <c r="C7" s="3" t="str">
        <f aca="false">IFERROR(VLOOKUP(B7,CustomerMaster!$A$4:$D$18,2,FALSE()),"Not Found")</f>
        <v>Priya Nair</v>
      </c>
      <c r="D7" s="3" t="str">
        <f aca="false">IFERROR(VLOOKUP(B7,CustomerMaster!$A$4:$D$18,3,FALSE()),"Not Found")</f>
        <v>South</v>
      </c>
      <c r="E7" s="3" t="str">
        <f aca="false">IFERROR(VLOOKUP(B7,CustomerMaster!$A$4:$D$18,4,FALSE()),"Not Found")</f>
        <v>Platinum</v>
      </c>
    </row>
    <row r="8" customFormat="false" ht="15" hidden="false" customHeight="false" outlineLevel="0" collapsed="false">
      <c r="A8" s="3" t="s">
        <v>51</v>
      </c>
      <c r="B8" s="7" t="s">
        <v>25</v>
      </c>
      <c r="C8" s="3" t="str">
        <f aca="false">IFERROR(VLOOKUP(B8,CustomerMaster!$A$4:$D$18,2,FALSE()),"Not Found")</f>
        <v>Neha Gupta</v>
      </c>
      <c r="D8" s="3" t="str">
        <f aca="false">IFERROR(VLOOKUP(B8,CustomerMaster!$A$4:$D$18,3,FALSE()),"Not Found")</f>
        <v>West</v>
      </c>
      <c r="E8" s="3" t="str">
        <f aca="false">IFERROR(VLOOKUP(B8,CustomerMaster!$A$4:$D$18,4,FALSE()),"Not Found")</f>
        <v>Gold</v>
      </c>
    </row>
    <row r="9" customFormat="false" ht="15" hidden="false" customHeight="false" outlineLevel="0" collapsed="false">
      <c r="A9" s="3" t="s">
        <v>52</v>
      </c>
      <c r="B9" s="7" t="s">
        <v>53</v>
      </c>
      <c r="C9" s="3" t="str">
        <f aca="false">IFERROR(VLOOKUP(B9,CustomerMaster!$A$4:$D$18,2,FALSE()),"Not Found")</f>
        <v>Not Found</v>
      </c>
      <c r="D9" s="3" t="str">
        <f aca="false">IFERROR(VLOOKUP(B9,CustomerMaster!$A$4:$D$18,3,FALSE()),"Not Found")</f>
        <v>Not Found</v>
      </c>
      <c r="E9" s="3" t="str">
        <f aca="false">IFERROR(VLOOKUP(B9,CustomerMaster!$A$4:$D$18,4,FALSE()),"Not Found")</f>
        <v>Not Found</v>
      </c>
    </row>
    <row r="10" customFormat="false" ht="15" hidden="false" customHeight="false" outlineLevel="0" collapsed="false">
      <c r="A10" s="3" t="s">
        <v>54</v>
      </c>
      <c r="B10" s="7" t="s">
        <v>33</v>
      </c>
      <c r="C10" s="3" t="str">
        <f aca="false">IFERROR(VLOOKUP(B10,CustomerMaster!$A$4:$D$18,2,FALSE()),"Not Found")</f>
        <v>Meera Iyer</v>
      </c>
      <c r="D10" s="3" t="str">
        <f aca="false">IFERROR(VLOOKUP(B10,CustomerMaster!$A$4:$D$18,3,FALSE()),"Not Found")</f>
        <v>West</v>
      </c>
      <c r="E10" s="3" t="str">
        <f aca="false">IFERROR(VLOOKUP(B10,CustomerMaster!$A$4:$D$18,4,FALSE()),"Not Found")</f>
        <v>Gold</v>
      </c>
    </row>
    <row r="11" customFormat="false" ht="15" hidden="false" customHeight="false" outlineLevel="0" collapsed="false">
      <c r="A11" s="3" t="s">
        <v>55</v>
      </c>
      <c r="B11" s="7" t="s">
        <v>5</v>
      </c>
      <c r="C11" s="3" t="str">
        <f aca="false">IFERROR(VLOOKUP(B11,CustomerMaster!$A$4:$D$18,2,FALSE()),"Not Found")</f>
        <v>Ananya Sharma</v>
      </c>
      <c r="D11" s="3" t="str">
        <f aca="false">IFERROR(VLOOKUP(B11,CustomerMaster!$A$4:$D$18,3,FALSE()),"Not Found")</f>
        <v>North</v>
      </c>
      <c r="E11" s="3" t="str">
        <f aca="false">IFERROR(VLOOKUP(B11,CustomerMaster!$A$4:$D$18,4,FALSE()),"Not Found")</f>
        <v>Gold</v>
      </c>
    </row>
    <row r="12" customFormat="false" ht="15" hidden="false" customHeight="false" outlineLevel="0" collapsed="false">
      <c r="A12" s="3" t="s">
        <v>56</v>
      </c>
      <c r="B12" s="7" t="s">
        <v>39</v>
      </c>
      <c r="C12" s="3" t="str">
        <f aca="false">IFERROR(VLOOKUP(B12,CustomerMaster!$A$4:$D$18,2,FALSE()),"Not Found")</f>
        <v>Siddharth Roy</v>
      </c>
      <c r="D12" s="3" t="str">
        <f aca="false">IFERROR(VLOOKUP(B12,CustomerMaster!$A$4:$D$18,3,FALSE()),"Not Found")</f>
        <v>South</v>
      </c>
      <c r="E12" s="3" t="str">
        <f aca="false">IFERROR(VLOOKUP(B12,CustomerMaster!$A$4:$D$18,4,FALSE()),"Not Found")</f>
        <v>Gold</v>
      </c>
    </row>
    <row r="13" customFormat="false" ht="15" hidden="false" customHeight="false" outlineLevel="0" collapsed="false">
      <c r="A13" s="3" t="s">
        <v>57</v>
      </c>
      <c r="B13" s="7" t="s">
        <v>19</v>
      </c>
      <c r="C13" s="3" t="str">
        <f aca="false">IFERROR(VLOOKUP(B13,CustomerMaster!$A$4:$D$18,2,FALSE()),"Not Found")</f>
        <v>Simran Kaur</v>
      </c>
      <c r="D13" s="3" t="str">
        <f aca="false">IFERROR(VLOOKUP(B13,CustomerMaster!$A$4:$D$18,3,FALSE()),"Not Found")</f>
        <v>East</v>
      </c>
      <c r="E13" s="3" t="str">
        <f aca="false">IFERROR(VLOOKUP(B13,CustomerMaster!$A$4:$D$18,4,FALSE()),"Not Found")</f>
        <v>Silver</v>
      </c>
    </row>
    <row r="14" customFormat="false" ht="15" hidden="false" customHeight="false" outlineLevel="0" collapsed="false">
      <c r="A14" s="3" t="s">
        <v>58</v>
      </c>
      <c r="B14" s="7" t="s">
        <v>27</v>
      </c>
      <c r="C14" s="3" t="str">
        <f aca="false">IFERROR(VLOOKUP(B14,CustomerMaster!$A$4:$D$18,2,FALSE()),"Not Found")</f>
        <v>Vikram Singh</v>
      </c>
      <c r="D14" s="3" t="str">
        <f aca="false">IFERROR(VLOOKUP(B14,CustomerMaster!$A$4:$D$18,3,FALSE()),"Not Found")</f>
        <v>North</v>
      </c>
      <c r="E14" s="3" t="str">
        <f aca="false">IFERROR(VLOOKUP(B14,CustomerMaster!$A$4:$D$18,4,FALSE()),"Not Found")</f>
        <v>Platinum</v>
      </c>
    </row>
    <row r="16" customFormat="false" ht="15" hidden="false" customHeight="false" outlineLevel="0" collapsed="false">
      <c r="A16" s="5" t="s">
        <v>59</v>
      </c>
    </row>
    <row r="17" customFormat="false" ht="15" hidden="false" customHeight="true" outlineLevel="0" collapsed="false">
      <c r="A17" s="8" t="s">
        <v>60</v>
      </c>
      <c r="B17" s="8"/>
      <c r="C17" s="8"/>
      <c r="D17" s="8"/>
      <c r="E17" s="8"/>
      <c r="F17" s="8"/>
      <c r="G17" s="8"/>
      <c r="H17" s="8"/>
    </row>
    <row r="18" customFormat="false" ht="15" hidden="false" customHeight="true" outlineLevel="0" collapsed="false">
      <c r="A18" s="8" t="s">
        <v>61</v>
      </c>
      <c r="B18" s="8"/>
      <c r="C18" s="8"/>
      <c r="D18" s="8"/>
      <c r="E18" s="8"/>
      <c r="F18" s="8"/>
      <c r="G18" s="8"/>
      <c r="H18" s="8"/>
    </row>
    <row r="19" customFormat="false" ht="23.85" hidden="false" customHeight="true" outlineLevel="0" collapsed="false">
      <c r="A19" s="8" t="s">
        <v>62</v>
      </c>
      <c r="B19" s="8"/>
      <c r="C19" s="8"/>
      <c r="D19" s="8"/>
      <c r="E19" s="8"/>
      <c r="F19" s="8"/>
      <c r="G19" s="8"/>
      <c r="H19" s="8"/>
    </row>
    <row r="20" customFormat="false" ht="15" hidden="false" customHeight="true" outlineLevel="0" collapsed="false">
      <c r="A20" s="8" t="s">
        <v>63</v>
      </c>
      <c r="B20" s="8"/>
      <c r="C20" s="8"/>
      <c r="D20" s="8"/>
      <c r="E20" s="8"/>
      <c r="F20" s="8"/>
      <c r="G20" s="8"/>
      <c r="H20" s="8"/>
    </row>
    <row r="21" customFormat="false" ht="15" hidden="false" customHeight="true" outlineLevel="0" collapsed="false">
      <c r="A21" s="8" t="s">
        <v>64</v>
      </c>
      <c r="B21" s="8"/>
      <c r="C21" s="8"/>
      <c r="D21" s="8"/>
      <c r="E21" s="8"/>
      <c r="F21" s="8"/>
      <c r="G21" s="8"/>
      <c r="H21" s="8"/>
    </row>
  </sheetData>
  <mergeCells count="7">
    <mergeCell ref="A1:E1"/>
    <mergeCell ref="A4:H4"/>
    <mergeCell ref="A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2026-07-28T09:47:23Z</dcterms:created>
  <dc:creator>openpyxl</dc:creator>
  <dc:description/>
  <dc:language>en-US</dc:language>
  <cp:lastModifiedBy/>
  <dcterms:modified xsi:type="dcterms:W3CDTF">2026-07-28T09:47:23Z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